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 вентиляции" sheetId="1" state="visible" r:id="rId1"/>
    <sheet name="Справочные таблиц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sz val="10"/>
    </font>
    <font>
      <b val="1"/>
      <sz val="11"/>
    </font>
    <font>
      <b val="1"/>
    </font>
    <font>
      <b val="1"/>
      <color rgb="00C65911"/>
      <sz val="11"/>
    </font>
    <font>
      <b val="1"/>
      <color rgb="00FFFFFF"/>
      <sz val="12"/>
    </font>
    <font>
      <b val="1"/>
      <color rgb="00C659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FFF2CC"/>
        <bgColor rgb="00FFF2CC"/>
      </patternFill>
    </fill>
    <fill>
      <patternFill patternType="solid">
        <fgColor rgb="00C65911"/>
        <bgColor rgb="00C6591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8" fillId="6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2" fontId="9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РАСЧЕТ ВЕНТИЛЯЦИИ В ГОРЯЧЕМ ЦЕХЕ И ОБЕДЕННОМ ЗАЛЕ КАФЕ</t>
        </is>
      </c>
    </row>
    <row r="2">
      <c r="A2" s="2" t="inlineStr">
        <is>
          <t>Пример 5.1 из Сборника расчетов АВОК-2020</t>
        </is>
      </c>
    </row>
    <row r="4">
      <c r="A4" s="3" t="inlineStr">
        <is>
          <t>ИСХОДНЫЕ ДАННЫЕ</t>
        </is>
      </c>
    </row>
    <row r="5">
      <c r="A5" s="4" t="inlineStr">
        <is>
          <t>Параметр</t>
        </is>
      </c>
      <c r="B5" s="4" t="inlineStr">
        <is>
          <t>Обозначение</t>
        </is>
      </c>
      <c r="C5" s="4" t="inlineStr">
        <is>
          <t>Значение</t>
        </is>
      </c>
      <c r="D5" s="4" t="inlineStr">
        <is>
          <t>Единица</t>
        </is>
      </c>
      <c r="E5" s="4" t="inlineStr">
        <is>
          <t>Примечание</t>
        </is>
      </c>
    </row>
    <row r="6">
      <c r="A6" s="5" t="inlineStr">
        <is>
          <t>Количество посадочных мест</t>
        </is>
      </c>
      <c r="B6" s="6" t="inlineStr">
        <is>
          <t>n₁</t>
        </is>
      </c>
      <c r="C6" s="6" t="n">
        <v>20</v>
      </c>
      <c r="D6" s="6" t="inlineStr">
        <is>
          <t>мест</t>
        </is>
      </c>
      <c r="E6" s="5" t="inlineStr">
        <is>
          <t>Обеденный зал</t>
        </is>
      </c>
    </row>
    <row r="7">
      <c r="A7" s="5" t="inlineStr">
        <is>
          <t>Численность персонала в горячем цехе</t>
        </is>
      </c>
      <c r="B7" s="6" t="inlineStr">
        <is>
          <t>n₂</t>
        </is>
      </c>
      <c r="C7" s="6" t="n">
        <v>3</v>
      </c>
      <c r="D7" s="6" t="inlineStr">
        <is>
          <t>чел</t>
        </is>
      </c>
      <c r="E7" s="5" t="inlineStr"/>
    </row>
    <row r="8">
      <c r="A8" s="5" t="inlineStr">
        <is>
          <t>Объем горячего цеха</t>
        </is>
      </c>
      <c r="B8" s="6" t="inlineStr">
        <is>
          <t>Vг</t>
        </is>
      </c>
      <c r="C8" s="6" t="n">
        <v>90</v>
      </c>
      <c r="D8" s="6" t="inlineStr">
        <is>
          <t>м³</t>
        </is>
      </c>
      <c r="E8" s="5" t="inlineStr">
        <is>
          <t>Высота 3,1 м</t>
        </is>
      </c>
    </row>
    <row r="9">
      <c r="A9" s="5" t="inlineStr">
        <is>
          <t>Объем обеденного зала</t>
        </is>
      </c>
      <c r="B9" s="6" t="inlineStr">
        <is>
          <t>Vт</t>
        </is>
      </c>
      <c r="C9" s="6" t="n">
        <v>331.2</v>
      </c>
      <c r="D9" s="6" t="inlineStr">
        <is>
          <t>м³</t>
        </is>
      </c>
      <c r="E9" s="5" t="inlineStr">
        <is>
          <t>Высота 3 м</t>
        </is>
      </c>
    </row>
    <row r="10">
      <c r="A10" s="5" t="inlineStr">
        <is>
          <t>Коэффициент одновременности</t>
        </is>
      </c>
      <c r="B10" s="6" t="inlineStr">
        <is>
          <t>Kо</t>
        </is>
      </c>
      <c r="C10" s="6" t="n">
        <v>0.7</v>
      </c>
      <c r="D10" s="6" t="inlineStr">
        <is>
          <t>-</t>
        </is>
      </c>
      <c r="E10" s="5" t="inlineStr"/>
    </row>
    <row r="11">
      <c r="A11" s="5" t="inlineStr">
        <is>
          <t>Коэффициент эффективности отсоса</t>
        </is>
      </c>
      <c r="B11" s="6" t="inlineStr">
        <is>
          <t>Kэфобщ</t>
        </is>
      </c>
      <c r="C11" s="6" t="n">
        <v>0.7</v>
      </c>
      <c r="D11" s="6" t="inlineStr">
        <is>
          <t>-</t>
        </is>
      </c>
      <c r="E11" s="5" t="inlineStr">
        <is>
          <t>Вытяжные зонты</t>
        </is>
      </c>
    </row>
    <row r="12">
      <c r="A12" s="5" t="inlineStr">
        <is>
          <t>Мощность освещения горячего цеха</t>
        </is>
      </c>
      <c r="B12" s="6" t="inlineStr">
        <is>
          <t>Q₃</t>
        </is>
      </c>
      <c r="C12" s="6" t="n">
        <v>0.71</v>
      </c>
      <c r="D12" s="6" t="inlineStr">
        <is>
          <t>кВт</t>
        </is>
      </c>
      <c r="E12" s="5" t="inlineStr"/>
    </row>
    <row r="13">
      <c r="A13" s="5" t="inlineStr">
        <is>
          <t>Теплопоступления от солн. радиации (гор. цех)</t>
        </is>
      </c>
      <c r="B13" s="6" t="inlineStr">
        <is>
          <t>Q₄</t>
        </is>
      </c>
      <c r="C13" s="6" t="n">
        <v>0</v>
      </c>
      <c r="D13" s="6" t="inlineStr">
        <is>
          <t>кВт</t>
        </is>
      </c>
      <c r="E13" s="5" t="inlineStr">
        <is>
          <t>Окон нет</t>
        </is>
      </c>
    </row>
    <row r="14">
      <c r="A14" s="5" t="inlineStr">
        <is>
          <t>Мощность освещения обеденного зала</t>
        </is>
      </c>
      <c r="B14" s="6" t="inlineStr">
        <is>
          <t>Q₃т</t>
        </is>
      </c>
      <c r="C14" s="6" t="n">
        <v>1.66</v>
      </c>
      <c r="D14" s="6" t="inlineStr">
        <is>
          <t>кВт</t>
        </is>
      </c>
      <c r="E14" s="5" t="inlineStr"/>
    </row>
    <row r="15">
      <c r="A15" s="5" t="inlineStr">
        <is>
          <t>Теплопоступления от солн. радиации (обед. зал)</t>
        </is>
      </c>
      <c r="B15" s="6" t="inlineStr">
        <is>
          <t>Q₄т</t>
        </is>
      </c>
      <c r="C15" s="6" t="n">
        <v>4.27</v>
      </c>
      <c r="D15" s="6" t="inlineStr">
        <is>
          <t>кВт</t>
        </is>
      </c>
      <c r="E15" s="5" t="inlineStr"/>
    </row>
    <row r="16">
      <c r="A16" s="5" t="inlineStr">
        <is>
          <t>Температура воздуха, удаляемого отсосами</t>
        </is>
      </c>
      <c r="B16" s="6" t="inlineStr">
        <is>
          <t>tотс</t>
        </is>
      </c>
      <c r="C16" s="6" t="n">
        <v>42</v>
      </c>
      <c r="D16" s="6" t="inlineStr">
        <is>
          <t>°C</t>
        </is>
      </c>
      <c r="E16" s="5" t="inlineStr"/>
    </row>
    <row r="17">
      <c r="A17" s="5" t="inlineStr">
        <is>
          <t>Температура воздуха в верхней зоне</t>
        </is>
      </c>
      <c r="B17" s="6" t="inlineStr">
        <is>
          <t>tв</t>
        </is>
      </c>
      <c r="C17" s="6" t="n">
        <v>30</v>
      </c>
      <c r="D17" s="6" t="inlineStr">
        <is>
          <t>°C</t>
        </is>
      </c>
      <c r="E17" s="5" t="inlineStr"/>
    </row>
    <row r="18">
      <c r="A18" s="5" t="inlineStr">
        <is>
          <t>Температура воздуха в обеденном зале</t>
        </is>
      </c>
      <c r="B18" s="6" t="inlineStr">
        <is>
          <t>tрт</t>
        </is>
      </c>
      <c r="C18" s="6" t="n">
        <v>27</v>
      </c>
      <c r="D18" s="6" t="inlineStr">
        <is>
          <t>°C</t>
        </is>
      </c>
      <c r="E18" s="5" t="inlineStr"/>
    </row>
    <row r="19">
      <c r="A19" s="5" t="inlineStr">
        <is>
          <t>Кратность воздухообмена</t>
        </is>
      </c>
      <c r="B19" s="6" t="inlineStr">
        <is>
          <t>n</t>
        </is>
      </c>
      <c r="C19" s="6" t="n">
        <v>2</v>
      </c>
      <c r="D19" s="6" t="inlineStr">
        <is>
          <t>ч⁻¹</t>
        </is>
      </c>
      <c r="E19" s="5" t="inlineStr"/>
    </row>
    <row r="21">
      <c r="A21" s="3" t="inlineStr">
        <is>
          <t>ТАБЛИЦА 5.1 - Перечень теплового оборудования в горячем цехе</t>
        </is>
      </c>
    </row>
    <row r="22">
      <c r="A22" s="7" t="inlineStr">
        <is>
          <t>Оборудование</t>
        </is>
      </c>
      <c r="B22" s="7" t="inlineStr">
        <is>
          <t>Кол-во, ед.</t>
        </is>
      </c>
      <c r="C22" s="7" t="inlineStr">
        <is>
          <t>Qу, кВт</t>
        </is>
      </c>
      <c r="D22" s="7" t="inlineStr">
        <is>
          <t>Kз</t>
        </is>
      </c>
      <c r="E22" s="7" t="inlineStr">
        <is>
          <t>Вытяжка, м³/ч</t>
        </is>
      </c>
      <c r="F22" s="7" t="inlineStr">
        <is>
          <t>Приток, м³/ч</t>
        </is>
      </c>
      <c r="G22" s="7" t="inlineStr">
        <is>
          <t>Qу·Kз</t>
        </is>
      </c>
      <c r="H22" s="7" t="inlineStr">
        <is>
          <t>Примечание</t>
        </is>
      </c>
    </row>
    <row r="23">
      <c r="A23" s="5" t="inlineStr">
        <is>
          <t>Пароконвекционная печь</t>
        </is>
      </c>
      <c r="B23" s="6" t="n">
        <v>2</v>
      </c>
      <c r="C23" s="6" t="n">
        <v>23</v>
      </c>
      <c r="D23" s="6" t="n">
        <v>0.65</v>
      </c>
      <c r="E23" s="6" t="n">
        <v>1700</v>
      </c>
      <c r="F23" s="6" t="n">
        <v>400</v>
      </c>
      <c r="G23" s="6">
        <f>B23*C23*D23</f>
        <v/>
      </c>
      <c r="H23" s="5" t="inlineStr">
        <is>
          <t>С отсосом</t>
        </is>
      </c>
    </row>
    <row r="24">
      <c r="A24" s="5" t="inlineStr">
        <is>
          <t>Пароконвекционная печь</t>
        </is>
      </c>
      <c r="B24" s="6" t="n">
        <v>2</v>
      </c>
      <c r="C24" s="6" t="n">
        <v>17.5</v>
      </c>
      <c r="D24" s="6" t="n">
        <v>0.65</v>
      </c>
      <c r="E24" s="6" t="n">
        <v>1500</v>
      </c>
      <c r="F24" s="6" t="n">
        <v>400</v>
      </c>
      <c r="G24" s="6">
        <f>B24*C24*D24</f>
        <v/>
      </c>
      <c r="H24" s="5" t="inlineStr">
        <is>
          <t>С отсосом</t>
        </is>
      </c>
    </row>
    <row r="25">
      <c r="A25" s="5" t="inlineStr">
        <is>
          <t>Холодильный прилавок</t>
        </is>
      </c>
      <c r="B25" s="6" t="n">
        <v>2</v>
      </c>
      <c r="C25" s="6" t="n">
        <v>0.34</v>
      </c>
      <c r="D25" s="6" t="n">
        <v>0.3</v>
      </c>
      <c r="E25" s="6" t="inlineStr"/>
      <c r="F25" s="6" t="inlineStr"/>
      <c r="G25" s="6">
        <f>B25*C25*D25</f>
        <v/>
      </c>
      <c r="H25" s="5" t="inlineStr">
        <is>
          <t>Без отсоса</t>
        </is>
      </c>
    </row>
    <row r="26">
      <c r="A26" s="5" t="inlineStr">
        <is>
          <t>Гриль</t>
        </is>
      </c>
      <c r="B26" s="6" t="n">
        <v>1</v>
      </c>
      <c r="C26" s="6" t="n">
        <v>3.6</v>
      </c>
      <c r="D26" s="6" t="n">
        <v>0.3</v>
      </c>
      <c r="E26" s="6" t="inlineStr"/>
      <c r="F26" s="6" t="inlineStr"/>
      <c r="G26" s="6">
        <f>B26*C26*D26</f>
        <v/>
      </c>
      <c r="H26" s="5" t="inlineStr">
        <is>
          <t>Без отсоса</t>
        </is>
      </c>
    </row>
    <row r="27">
      <c r="A27" s="5" t="inlineStr">
        <is>
          <t>Станция напитков</t>
        </is>
      </c>
      <c r="B27" s="6" t="n">
        <v>1</v>
      </c>
      <c r="C27" s="6" t="n">
        <v>1</v>
      </c>
      <c r="D27" s="6" t="n">
        <v>0.3</v>
      </c>
      <c r="E27" s="6" t="inlineStr"/>
      <c r="F27" s="6" t="inlineStr"/>
      <c r="G27" s="6">
        <f>B27*C27*D27</f>
        <v/>
      </c>
      <c r="H27" s="5" t="inlineStr">
        <is>
          <t>Без отсоса</t>
        </is>
      </c>
    </row>
    <row r="28">
      <c r="A28" s="5" t="inlineStr">
        <is>
          <t>Охладитель молока</t>
        </is>
      </c>
      <c r="B28" s="6" t="n">
        <v>1</v>
      </c>
      <c r="C28" s="6" t="n">
        <v>0.5</v>
      </c>
      <c r="D28" s="6" t="n">
        <v>0.3</v>
      </c>
      <c r="E28" s="6" t="inlineStr"/>
      <c r="F28" s="6" t="inlineStr"/>
      <c r="G28" s="6">
        <f>B28*C28*D28</f>
        <v/>
      </c>
      <c r="H28" s="5" t="inlineStr">
        <is>
          <t>Без отсоса</t>
        </is>
      </c>
    </row>
    <row r="29">
      <c r="A29" s="5" t="inlineStr">
        <is>
          <t>Льдогенератор</t>
        </is>
      </c>
      <c r="B29" s="6" t="n">
        <v>1</v>
      </c>
      <c r="C29" s="6" t="n">
        <v>1</v>
      </c>
      <c r="D29" s="6" t="n">
        <v>0.3</v>
      </c>
      <c r="E29" s="6" t="inlineStr"/>
      <c r="F29" s="6" t="inlineStr"/>
      <c r="G29" s="6">
        <f>B29*C29*D29</f>
        <v/>
      </c>
      <c r="H29" s="5" t="inlineStr">
        <is>
          <t>Без отсоса</t>
        </is>
      </c>
    </row>
    <row r="30">
      <c r="A30" s="5" t="inlineStr">
        <is>
          <t>Слайсер</t>
        </is>
      </c>
      <c r="B30" s="6" t="n">
        <v>1</v>
      </c>
      <c r="C30" s="6" t="n">
        <v>0.25</v>
      </c>
      <c r="D30" s="6" t="n">
        <v>0.3</v>
      </c>
      <c r="E30" s="6" t="inlineStr"/>
      <c r="F30" s="6" t="inlineStr"/>
      <c r="G30" s="6">
        <f>B30*C30*D30</f>
        <v/>
      </c>
      <c r="H30" s="5" t="inlineStr">
        <is>
          <t>Без отсоса</t>
        </is>
      </c>
    </row>
    <row r="32">
      <c r="A32" s="3" t="inlineStr">
        <is>
          <t>РАСЧЕТЫ</t>
        </is>
      </c>
    </row>
    <row r="33">
      <c r="A33" s="8" t="inlineStr">
        <is>
          <t>1. ТЕПЛОВЫДЕЛЕНИЯ ОТ КУХОННОГО ОБОРУДОВАНИЯ (Формула 1)</t>
        </is>
      </c>
    </row>
    <row r="34">
      <c r="A34" s="9" t="inlineStr">
        <is>
          <t>Описание</t>
        </is>
      </c>
      <c r="C34" s="9" t="inlineStr">
        <is>
          <t>Формула/Значение</t>
        </is>
      </c>
      <c r="D34" s="9" t="inlineStr">
        <is>
          <t>Результат</t>
        </is>
      </c>
      <c r="E34" s="9" t="inlineStr">
        <is>
          <t>Единица</t>
        </is>
      </c>
    </row>
    <row r="35">
      <c r="A35" s="10" t="inlineStr">
        <is>
          <t>Оборудование с местными отсосами (∑Qу·Kз)</t>
        </is>
      </c>
      <c r="C35" s="10">
        <f>SUMIF(E23:E30,"&gt;0",G23:G30)</f>
        <v/>
      </c>
      <c r="D35" s="10">
        <f>C35</f>
        <v/>
      </c>
      <c r="E35" s="10" t="inlineStr">
        <is>
          <t>кВт</t>
        </is>
      </c>
    </row>
    <row r="36">
      <c r="A36" s="10" t="inlineStr">
        <is>
          <t>С учетом эффективности отсоса (1 - Kэфобщ)</t>
        </is>
      </c>
      <c r="C36" s="10">
        <f>D35*(1-C11)</f>
        <v/>
      </c>
      <c r="D36" s="10">
        <f>C36</f>
        <v/>
      </c>
      <c r="E36" s="10" t="inlineStr">
        <is>
          <t>кВт</t>
        </is>
      </c>
    </row>
    <row r="37">
      <c r="A37" s="10" t="inlineStr">
        <is>
          <t>Оборудование без местных отсосов (∑Qу_р·Kз)</t>
        </is>
      </c>
      <c r="C37" s="10">
        <f>SUMIF(E23:E30,"",G23:G30)</f>
        <v/>
      </c>
      <c r="D37" s="10">
        <f>C37</f>
        <v/>
      </c>
      <c r="E37" s="10" t="inlineStr">
        <is>
          <t>кВт</t>
        </is>
      </c>
    </row>
    <row r="38">
      <c r="A38" s="11" t="inlineStr">
        <is>
          <t>Q₁ = Kо·[(∑Qу·Kз·(1-Kэфобщ)) + (∑Qу_р·Kз)]</t>
        </is>
      </c>
      <c r="C38" s="10">
        <f>C10*(D36+D37)</f>
        <v/>
      </c>
      <c r="D38" s="12">
        <f>C38</f>
        <v/>
      </c>
      <c r="E38" s="10" t="inlineStr">
        <is>
          <t>кВт</t>
        </is>
      </c>
    </row>
    <row r="40">
      <c r="A40" s="8" t="inlineStr">
        <is>
          <t>2. ТЕПЛОВЫДЕЛЕНИЯ ОТ ЛЮДЕЙ (Формула 2)</t>
        </is>
      </c>
    </row>
    <row r="41">
      <c r="A41" s="9" t="inlineStr">
        <is>
          <t>Описание</t>
        </is>
      </c>
      <c r="C41" s="9" t="inlineStr">
        <is>
          <t>Формула/Значение</t>
        </is>
      </c>
      <c r="D41" s="9" t="inlineStr">
        <is>
          <t>Результат</t>
        </is>
      </c>
      <c r="E41" s="9" t="inlineStr">
        <is>
          <t>Единица</t>
        </is>
      </c>
    </row>
    <row r="42">
      <c r="A42" s="10" t="inlineStr">
        <is>
          <t>Численность персонала (n₂)</t>
        </is>
      </c>
      <c r="C42" s="10">
        <f>C7</f>
        <v/>
      </c>
      <c r="D42" s="10">
        <f>C42</f>
        <v/>
      </c>
      <c r="E42" s="10" t="inlineStr">
        <is>
          <t>чел</t>
        </is>
      </c>
    </row>
    <row r="43">
      <c r="A43" s="10" t="inlineStr">
        <is>
          <t>Тепловыделения от 1 работающего (q₂)</t>
        </is>
      </c>
      <c r="C43" s="10" t="n">
        <v>0.2</v>
      </c>
      <c r="D43" s="10">
        <f>C43</f>
        <v/>
      </c>
      <c r="E43" s="10" t="inlineStr">
        <is>
          <t>кВт</t>
        </is>
      </c>
    </row>
    <row r="44">
      <c r="A44" s="11" t="inlineStr">
        <is>
          <t>Q₂ = n₂ · q₂</t>
        </is>
      </c>
      <c r="C44" s="10">
        <f>C7*C43</f>
        <v/>
      </c>
      <c r="D44" s="12">
        <f>C44</f>
        <v/>
      </c>
      <c r="E44" s="10" t="inlineStr">
        <is>
          <t>кВт</t>
        </is>
      </c>
    </row>
    <row r="46">
      <c r="A46" s="8" t="inlineStr">
        <is>
          <t>3. ОБЩИЕ ТЕПЛОВЫДЕЛЕНИЯ В ГОРЯЧЕМ ЦЕХЕ (Формула 3)</t>
        </is>
      </c>
    </row>
    <row r="47">
      <c r="A47" s="9" t="inlineStr">
        <is>
          <t>Описание</t>
        </is>
      </c>
      <c r="C47" s="9" t="inlineStr">
        <is>
          <t>Формула/Значение</t>
        </is>
      </c>
      <c r="D47" s="9" t="inlineStr">
        <is>
          <t>Результат</t>
        </is>
      </c>
      <c r="E47" s="9" t="inlineStr">
        <is>
          <t>Единица</t>
        </is>
      </c>
    </row>
    <row r="48">
      <c r="A48" s="10" t="inlineStr">
        <is>
          <t>Тепловыделения от оборудования (Q₁)</t>
        </is>
      </c>
      <c r="C48" s="10">
        <f>D38</f>
        <v/>
      </c>
      <c r="D48" s="10">
        <f>C48</f>
        <v/>
      </c>
      <c r="E48" s="10" t="inlineStr">
        <is>
          <t>кВт</t>
        </is>
      </c>
    </row>
    <row r="49">
      <c r="A49" s="10" t="inlineStr">
        <is>
          <t>Тепловыделения от людей (Q₂)</t>
        </is>
      </c>
      <c r="C49" s="10">
        <f>D44</f>
        <v/>
      </c>
      <c r="D49" s="10">
        <f>C49</f>
        <v/>
      </c>
      <c r="E49" s="10" t="inlineStr">
        <is>
          <t>кВт</t>
        </is>
      </c>
    </row>
    <row r="50">
      <c r="A50" s="10" t="inlineStr">
        <is>
          <t>Тепловыделения от освещения (Q₃)</t>
        </is>
      </c>
      <c r="C50" s="10">
        <f>C12</f>
        <v/>
      </c>
      <c r="D50" s="10">
        <f>C50</f>
        <v/>
      </c>
      <c r="E50" s="10" t="inlineStr">
        <is>
          <t>кВт</t>
        </is>
      </c>
    </row>
    <row r="51">
      <c r="A51" s="11" t="inlineStr">
        <is>
          <t>Qг = Q₁ + Q₂ + Q₃</t>
        </is>
      </c>
      <c r="C51" s="10">
        <f>D38+D44+C12</f>
        <v/>
      </c>
      <c r="D51" s="12">
        <f>C51</f>
        <v/>
      </c>
      <c r="E51" s="10" t="inlineStr">
        <is>
          <t>кВт</t>
        </is>
      </c>
    </row>
    <row r="53">
      <c r="A53" s="8" t="inlineStr">
        <is>
          <t>4. ВОЗДУХ, УДАЛЯЕМЫЙ ИЗ ВЕРХНЕЙ ЗОНЫ (Формула 4)</t>
        </is>
      </c>
    </row>
    <row r="54">
      <c r="A54" s="9" t="inlineStr">
        <is>
          <t>Описание</t>
        </is>
      </c>
      <c r="C54" s="9" t="inlineStr">
        <is>
          <t>Формула/Значение</t>
        </is>
      </c>
      <c r="D54" s="9" t="inlineStr">
        <is>
          <t>Результат</t>
        </is>
      </c>
      <c r="E54" s="9" t="inlineStr">
        <is>
          <t>Единица</t>
        </is>
      </c>
    </row>
    <row r="55">
      <c r="A55" s="11" t="inlineStr">
        <is>
          <t>Lв = n · Vг</t>
        </is>
      </c>
      <c r="C55" s="10">
        <f>C19*C8</f>
        <v/>
      </c>
      <c r="D55" s="12">
        <f>C55</f>
        <v/>
      </c>
      <c r="E55" s="10" t="inlineStr">
        <is>
          <t>м³/ч</t>
        </is>
      </c>
    </row>
    <row r="57">
      <c r="A57" s="8" t="inlineStr">
        <is>
          <t>5. ПЛОТНОСТИ ВОЗДУХА</t>
        </is>
      </c>
    </row>
    <row r="58">
      <c r="A58" s="9" t="inlineStr">
        <is>
          <t>Описание</t>
        </is>
      </c>
      <c r="C58" s="9" t="inlineStr">
        <is>
          <t>Формула/Значение</t>
        </is>
      </c>
      <c r="D58" s="9" t="inlineStr">
        <is>
          <t>Результат</t>
        </is>
      </c>
      <c r="E58" s="9" t="inlineStr">
        <is>
          <t>Единица</t>
        </is>
      </c>
    </row>
    <row r="59">
      <c r="A59" s="5" t="inlineStr">
        <is>
          <t>ρᵢ - для местных отсосов (как в PDF)</t>
        </is>
      </c>
      <c r="C59" s="10" t="n">
        <v>1.13</v>
      </c>
      <c r="D59" s="13">
        <f>C59</f>
        <v/>
      </c>
      <c r="E59" s="10" t="inlineStr">
        <is>
          <t>кг/м³</t>
        </is>
      </c>
    </row>
    <row r="60">
      <c r="A60" s="10" t="inlineStr">
        <is>
          <t>ρв = 353/(273 + tв) - для верхней зоны</t>
        </is>
      </c>
      <c r="C60" s="10">
        <f>353/(273+C17)</f>
        <v/>
      </c>
      <c r="D60" s="13">
        <f>C60</f>
        <v/>
      </c>
      <c r="E60" s="10" t="inlineStr">
        <is>
          <t>кг/м³</t>
        </is>
      </c>
    </row>
    <row r="62">
      <c r="A62" s="8" t="inlineStr">
        <is>
          <t>6. МАССОВЫЙ РАСХОД УДАЛЯЕМОГО ВОЗДУХА (Формула 5)</t>
        </is>
      </c>
    </row>
    <row r="63">
      <c r="A63" s="9" t="inlineStr">
        <is>
          <t>Описание</t>
        </is>
      </c>
      <c r="C63" s="9" t="inlineStr">
        <is>
          <t>Формула/Значение</t>
        </is>
      </c>
      <c r="D63" s="9" t="inlineStr">
        <is>
          <t>Результат</t>
        </is>
      </c>
      <c r="E63" s="9" t="inlineStr">
        <is>
          <t>Единица</t>
        </is>
      </c>
    </row>
    <row r="64">
      <c r="A64" s="10" t="inlineStr">
        <is>
          <t>∑Lоᵢ - суммарный расход через местные отсосы</t>
        </is>
      </c>
      <c r="C64" s="10">
        <f>SUMIF(E23:E30,"&gt;0",E23:E30)*2</f>
        <v/>
      </c>
      <c r="D64" s="10">
        <f>C64</f>
        <v/>
      </c>
      <c r="E64" s="10" t="inlineStr">
        <is>
          <t>м³/ч</t>
        </is>
      </c>
    </row>
    <row r="65">
      <c r="A65" s="11" t="inlineStr">
        <is>
          <t>Gуг = (∑Lоᵢ · ρᵢ) + Lв · ρв</t>
        </is>
      </c>
      <c r="C65" s="10">
        <f>D64*D59+D55*D60</f>
        <v/>
      </c>
      <c r="D65" s="12">
        <f>C65</f>
        <v/>
      </c>
      <c r="E65" s="10" t="inlineStr">
        <is>
          <t>кг/ч</t>
        </is>
      </c>
    </row>
    <row r="67">
      <c r="A67" s="8" t="inlineStr">
        <is>
          <t>7. РАСПРЕДЕЛЕНИЕ ВОЗДУШНЫХ ПОТОКОВ</t>
        </is>
      </c>
    </row>
    <row r="68">
      <c r="A68" s="9" t="inlineStr">
        <is>
          <t>Описание</t>
        </is>
      </c>
      <c r="C68" s="9" t="inlineStr">
        <is>
          <t>Формула/Значение</t>
        </is>
      </c>
      <c r="D68" s="9" t="inlineStr">
        <is>
          <t>Результат</t>
        </is>
      </c>
      <c r="E68" s="9" t="inlineStr">
        <is>
          <t>Единица</t>
        </is>
      </c>
    </row>
    <row r="69">
      <c r="A69" s="10" t="inlineStr">
        <is>
          <t>Gс = 0,2 · Gуг (через раздаточный проем)</t>
        </is>
      </c>
      <c r="C69" s="10">
        <f>0.2*D65</f>
        <v/>
      </c>
      <c r="D69" s="12">
        <f>C69</f>
        <v/>
      </c>
      <c r="E69" s="10" t="inlineStr">
        <is>
          <t>кг/ч</t>
        </is>
      </c>
    </row>
    <row r="70">
      <c r="A70" s="10" t="inlineStr">
        <is>
          <t>Gпог = 0,8 · Gуг (приточный воздух в гор. цех)</t>
        </is>
      </c>
      <c r="C70" s="10">
        <f>0.8*D65</f>
        <v/>
      </c>
      <c r="D70" s="12">
        <f>C70</f>
        <v/>
      </c>
      <c r="E70" s="10" t="inlineStr">
        <is>
          <t>кг/ч</t>
        </is>
      </c>
    </row>
    <row r="72">
      <c r="A72" s="8" t="inlineStr">
        <is>
          <t>8. ОБЪЕМНЫЙ РАСХОД ЧЕРЕЗ РАЗДАТОЧНЫЙ ПРОЕМ</t>
        </is>
      </c>
    </row>
    <row r="73">
      <c r="A73" s="9" t="inlineStr">
        <is>
          <t>Описание</t>
        </is>
      </c>
      <c r="C73" s="9" t="inlineStr">
        <is>
          <t>Формула/Значение</t>
        </is>
      </c>
      <c r="D73" s="9" t="inlineStr">
        <is>
          <t>Результат</t>
        </is>
      </c>
      <c r="E73" s="9" t="inlineStr">
        <is>
          <t>Единица</t>
        </is>
      </c>
    </row>
    <row r="74">
      <c r="A74" s="10" t="inlineStr">
        <is>
          <t>ρрт = 353/(273 + tрт) - плотность в обед. зале</t>
        </is>
      </c>
      <c r="C74" s="10">
        <f>353/(273+C18)</f>
        <v/>
      </c>
      <c r="D74" s="13">
        <f>C74</f>
        <v/>
      </c>
      <c r="E74" s="10" t="inlineStr">
        <is>
          <t>кг/м³</t>
        </is>
      </c>
    </row>
    <row r="75">
      <c r="A75" s="11" t="inlineStr">
        <is>
          <t>Lс = Gс / ρрт</t>
        </is>
      </c>
      <c r="C75" s="10">
        <f>D69/D74</f>
        <v/>
      </c>
      <c r="D75" s="12">
        <f>C75</f>
        <v/>
      </c>
      <c r="E75" s="10" t="inlineStr">
        <is>
          <t>м³/ч</t>
        </is>
      </c>
    </row>
    <row r="77">
      <c r="A77" s="14" t="inlineStr">
        <is>
          <t>ИТОГОВЫЕ РЕЗУЛЬТАТЫ</t>
        </is>
      </c>
    </row>
    <row r="78">
      <c r="A78" s="15" t="inlineStr">
        <is>
          <t>Параметр</t>
        </is>
      </c>
      <c r="C78" s="15" t="inlineStr">
        <is>
          <t>Значение</t>
        </is>
      </c>
      <c r="D78" s="15" t="inlineStr">
        <is>
          <t>Единица</t>
        </is>
      </c>
      <c r="E78" s="15" t="inlineStr">
        <is>
          <t>Контроль (из PDF)</t>
        </is>
      </c>
    </row>
    <row r="79">
      <c r="A79" s="5" t="inlineStr">
        <is>
          <t>Тепловыделения от оборудования Q₁</t>
        </is>
      </c>
      <c r="C79" s="16">
        <f>D38</f>
        <v/>
      </c>
      <c r="D79" s="6" t="inlineStr">
        <is>
          <t>кВт</t>
        </is>
      </c>
      <c r="E79" s="6" t="inlineStr">
        <is>
          <t>12,53 кВт</t>
        </is>
      </c>
    </row>
    <row r="80">
      <c r="A80" s="5" t="inlineStr">
        <is>
          <t>Тепловыделения от людей Q₂</t>
        </is>
      </c>
      <c r="C80" s="16">
        <f>D44</f>
        <v/>
      </c>
      <c r="D80" s="6" t="inlineStr">
        <is>
          <t>кВт</t>
        </is>
      </c>
      <c r="E80" s="6" t="inlineStr">
        <is>
          <t>0,6 кВт</t>
        </is>
      </c>
    </row>
    <row r="81">
      <c r="A81" s="5" t="inlineStr">
        <is>
          <t>Общие тепловыделения Qг</t>
        </is>
      </c>
      <c r="C81" s="16">
        <f>D51</f>
        <v/>
      </c>
      <c r="D81" s="6" t="inlineStr">
        <is>
          <t>кВт</t>
        </is>
      </c>
      <c r="E81" s="6" t="inlineStr">
        <is>
          <t>13,84 кВт</t>
        </is>
      </c>
    </row>
    <row r="82">
      <c r="A82" s="5" t="inlineStr">
        <is>
          <t>Воздух из верхней зоны Lв</t>
        </is>
      </c>
      <c r="C82" s="16">
        <f>D55</f>
        <v/>
      </c>
      <c r="D82" s="6" t="inlineStr">
        <is>
          <t>м³/ч</t>
        </is>
      </c>
      <c r="E82" s="6" t="inlineStr">
        <is>
          <t>180 м³/ч</t>
        </is>
      </c>
    </row>
    <row r="83">
      <c r="A83" s="5" t="inlineStr">
        <is>
          <t>Плотность воздуха в отсосах ρᵢ</t>
        </is>
      </c>
      <c r="C83" s="16">
        <f>D59</f>
        <v/>
      </c>
      <c r="D83" s="6" t="inlineStr">
        <is>
          <t>кг/м³</t>
        </is>
      </c>
      <c r="E83" s="6" t="inlineStr">
        <is>
          <t>1,13 кг/м³</t>
        </is>
      </c>
    </row>
    <row r="84">
      <c r="A84" s="5" t="inlineStr">
        <is>
          <t>Плотность воздуха верхней зоны ρв</t>
        </is>
      </c>
      <c r="C84" s="16">
        <f>D60</f>
        <v/>
      </c>
      <c r="D84" s="6" t="inlineStr">
        <is>
          <t>кг/м³</t>
        </is>
      </c>
      <c r="E84" s="6" t="inlineStr">
        <is>
          <t>1,17 кг/м³</t>
        </is>
      </c>
    </row>
    <row r="85">
      <c r="A85" s="5" t="inlineStr">
        <is>
          <t>Массовый расход удаляемого воздуха Gуг</t>
        </is>
      </c>
      <c r="C85" s="16">
        <f>D65</f>
        <v/>
      </c>
      <c r="D85" s="6" t="inlineStr">
        <is>
          <t>кг/ч</t>
        </is>
      </c>
      <c r="E85" s="6" t="inlineStr">
        <is>
          <t>7440 кг/ч</t>
        </is>
      </c>
    </row>
    <row r="86">
      <c r="A86" s="5" t="inlineStr">
        <is>
          <t>Расход через раздаточный проем Gс</t>
        </is>
      </c>
      <c r="C86" s="16">
        <f>D69</f>
        <v/>
      </c>
      <c r="D86" s="6" t="inlineStr">
        <is>
          <t>кг/ч</t>
        </is>
      </c>
      <c r="E86" s="6" t="inlineStr">
        <is>
          <t>1490 кг/ч</t>
        </is>
      </c>
    </row>
    <row r="87">
      <c r="A87" s="5" t="inlineStr">
        <is>
          <t>Приточный воздух в горячий цех Gпог</t>
        </is>
      </c>
      <c r="C87" s="16">
        <f>D70</f>
        <v/>
      </c>
      <c r="D87" s="6" t="inlineStr">
        <is>
          <t>кг/ч</t>
        </is>
      </c>
      <c r="E87" s="6" t="inlineStr">
        <is>
          <t>5950 кг/ч</t>
        </is>
      </c>
    </row>
    <row r="88">
      <c r="A88" s="5" t="inlineStr">
        <is>
          <t>Плотность в обеденном зале ρрт</t>
        </is>
      </c>
      <c r="C88" s="16">
        <f>D74</f>
        <v/>
      </c>
      <c r="D88" s="6" t="inlineStr">
        <is>
          <t>кг/м³</t>
        </is>
      </c>
      <c r="E88" s="6" t="inlineStr">
        <is>
          <t>1,18 кг/м³</t>
        </is>
      </c>
    </row>
    <row r="89">
      <c r="A89" s="5" t="inlineStr">
        <is>
          <t>Объемный расход через проем Lс</t>
        </is>
      </c>
      <c r="C89" s="16">
        <f>D75</f>
        <v/>
      </c>
      <c r="D89" s="6" t="inlineStr">
        <is>
          <t>м³/ч</t>
        </is>
      </c>
      <c r="E89" s="6" t="inlineStr">
        <is>
          <t>1260 м³/ч</t>
        </is>
      </c>
    </row>
  </sheetData>
  <mergeCells count="37">
    <mergeCell ref="A48:B48"/>
    <mergeCell ref="A77:E77"/>
    <mergeCell ref="A64:B64"/>
    <mergeCell ref="A59:B59"/>
    <mergeCell ref="A82:B82"/>
    <mergeCell ref="A60:B60"/>
    <mergeCell ref="A49:B49"/>
    <mergeCell ref="A51:B51"/>
    <mergeCell ref="A36:B36"/>
    <mergeCell ref="A1:E1"/>
    <mergeCell ref="A88:B88"/>
    <mergeCell ref="A70:B70"/>
    <mergeCell ref="A79:B79"/>
    <mergeCell ref="A69:B69"/>
    <mergeCell ref="A87:B87"/>
    <mergeCell ref="A65:B65"/>
    <mergeCell ref="A37:B37"/>
    <mergeCell ref="A75:B75"/>
    <mergeCell ref="A84:B84"/>
    <mergeCell ref="A89:B89"/>
    <mergeCell ref="A74:B74"/>
    <mergeCell ref="A80:B80"/>
    <mergeCell ref="A55:B55"/>
    <mergeCell ref="A50:B50"/>
    <mergeCell ref="A21:H21"/>
    <mergeCell ref="A86:B86"/>
    <mergeCell ref="A2:E2"/>
    <mergeCell ref="A85:B85"/>
    <mergeCell ref="A42:B42"/>
    <mergeCell ref="A32:E32"/>
    <mergeCell ref="A35:B35"/>
    <mergeCell ref="A38:B38"/>
    <mergeCell ref="A4:E4"/>
    <mergeCell ref="A43:B43"/>
    <mergeCell ref="A81:B81"/>
    <mergeCell ref="A44:B44"/>
    <mergeCell ref="A83:B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СПРАВОЧНЫЕ ТАБЛИЦЫ</t>
        </is>
      </c>
    </row>
    <row r="3">
      <c r="A3" s="3" t="inlineStr">
        <is>
          <t>ТАБЛИЦА 5.4 - Количество теплоты, выделяемое взрослыми мужчинами</t>
        </is>
      </c>
    </row>
    <row r="4">
      <c r="A4" s="4" t="inlineStr">
        <is>
          <t>Показатели</t>
        </is>
      </c>
      <c r="B4" s="4" t="inlineStr">
        <is>
          <t>Количество теплоты, Вт, при температуре воздуха в помещении, °C</t>
        </is>
      </c>
    </row>
    <row r="5">
      <c r="B5" s="4" t="inlineStr">
        <is>
          <t>10</t>
        </is>
      </c>
      <c r="C5" s="4" t="inlineStr">
        <is>
          <t>15</t>
        </is>
      </c>
      <c r="D5" s="4" t="inlineStr">
        <is>
          <t>20</t>
        </is>
      </c>
      <c r="E5" s="4" t="inlineStr">
        <is>
          <t>25</t>
        </is>
      </c>
      <c r="F5" s="4" t="inlineStr">
        <is>
          <t>30</t>
        </is>
      </c>
      <c r="G5" s="4" t="inlineStr">
        <is>
          <t>35</t>
        </is>
      </c>
    </row>
    <row r="6">
      <c r="A6" s="17" t="inlineStr">
        <is>
          <t>В состоянии покоя</t>
        </is>
      </c>
      <c r="B6" s="6" t="inlineStr"/>
      <c r="C6" s="18" t="n"/>
      <c r="D6" s="18" t="n"/>
      <c r="E6" s="18" t="n"/>
      <c r="F6" s="18" t="n"/>
      <c r="G6" s="18" t="n"/>
      <c r="H6" s="19" t="n"/>
    </row>
    <row r="7">
      <c r="A7" s="5" t="inlineStr">
        <is>
          <t xml:space="preserve">  - явная</t>
        </is>
      </c>
      <c r="B7" s="6" t="n">
        <v>140</v>
      </c>
      <c r="C7" s="6" t="n">
        <v>120</v>
      </c>
      <c r="D7" s="6" t="n">
        <v>90</v>
      </c>
      <c r="E7" s="6" t="n">
        <v>60</v>
      </c>
      <c r="F7" s="6" t="n">
        <v>40</v>
      </c>
      <c r="G7" s="6" t="n">
        <v>10</v>
      </c>
    </row>
    <row r="8">
      <c r="A8" s="5" t="inlineStr">
        <is>
          <t xml:space="preserve">  - полная</t>
        </is>
      </c>
      <c r="B8" s="6" t="n">
        <v>165</v>
      </c>
      <c r="C8" s="6" t="n">
        <v>145</v>
      </c>
      <c r="D8" s="6" t="n">
        <v>120</v>
      </c>
      <c r="E8" s="6" t="n">
        <v>95</v>
      </c>
      <c r="F8" s="6" t="n">
        <v>95</v>
      </c>
      <c r="G8" s="6" t="n">
        <v>95</v>
      </c>
    </row>
    <row r="9">
      <c r="A9" s="17" t="inlineStr">
        <is>
          <t>При легкой работе</t>
        </is>
      </c>
      <c r="B9" s="6" t="inlineStr"/>
      <c r="C9" s="18" t="n"/>
      <c r="D9" s="18" t="n"/>
      <c r="E9" s="18" t="n"/>
      <c r="F9" s="18" t="n"/>
      <c r="G9" s="18" t="n"/>
      <c r="H9" s="19" t="n"/>
    </row>
    <row r="10">
      <c r="A10" s="5" t="inlineStr">
        <is>
          <t xml:space="preserve">  - явная</t>
        </is>
      </c>
      <c r="B10" s="6" t="n">
        <v>150</v>
      </c>
      <c r="C10" s="6" t="n">
        <v>120</v>
      </c>
      <c r="D10" s="6" t="n">
        <v>100</v>
      </c>
      <c r="E10" s="6" t="n">
        <v>65</v>
      </c>
      <c r="F10" s="6" t="n">
        <v>40</v>
      </c>
      <c r="G10" s="6" t="n">
        <v>5</v>
      </c>
    </row>
    <row r="11">
      <c r="A11" s="5" t="inlineStr">
        <is>
          <t xml:space="preserve">  - полная</t>
        </is>
      </c>
      <c r="B11" s="6" t="n">
        <v>180</v>
      </c>
      <c r="C11" s="6" t="n">
        <v>160</v>
      </c>
      <c r="D11" s="6" t="n">
        <v>150</v>
      </c>
      <c r="E11" s="6" t="n">
        <v>145</v>
      </c>
      <c r="F11" s="6" t="n">
        <v>145</v>
      </c>
      <c r="G11" s="6" t="n">
        <v>145</v>
      </c>
    </row>
    <row r="12">
      <c r="A12" s="17" t="inlineStr">
        <is>
          <t>При работе средней тяжести</t>
        </is>
      </c>
      <c r="B12" s="6" t="inlineStr"/>
      <c r="C12" s="18" t="n"/>
      <c r="D12" s="18" t="n"/>
      <c r="E12" s="18" t="n"/>
      <c r="F12" s="18" t="n"/>
      <c r="G12" s="18" t="n"/>
      <c r="H12" s="19" t="n"/>
    </row>
    <row r="13">
      <c r="A13" s="5" t="inlineStr">
        <is>
          <t xml:space="preserve">  - явная</t>
        </is>
      </c>
      <c r="B13" s="6" t="n">
        <v>165</v>
      </c>
      <c r="C13" s="6" t="n">
        <v>135</v>
      </c>
      <c r="D13" s="6" t="n">
        <v>105</v>
      </c>
      <c r="E13" s="6" t="n">
        <v>70</v>
      </c>
      <c r="F13" s="6" t="n">
        <v>40</v>
      </c>
      <c r="G13" s="6" t="n">
        <v>5</v>
      </c>
    </row>
    <row r="14">
      <c r="A14" s="5" t="inlineStr">
        <is>
          <t xml:space="preserve">  - полная</t>
        </is>
      </c>
      <c r="B14" s="6" t="n">
        <v>215</v>
      </c>
      <c r="C14" s="6" t="n">
        <v>210</v>
      </c>
      <c r="D14" s="6" t="n">
        <v>205</v>
      </c>
      <c r="E14" s="6" t="n">
        <v>200</v>
      </c>
      <c r="F14" s="6" t="n">
        <v>200</v>
      </c>
      <c r="G14" s="6" t="n">
        <v>200</v>
      </c>
    </row>
    <row r="15">
      <c r="A15" s="17" t="inlineStr">
        <is>
          <t>При тяжелой работе</t>
        </is>
      </c>
      <c r="B15" s="6" t="inlineStr"/>
      <c r="C15" s="18" t="n"/>
      <c r="D15" s="18" t="n"/>
      <c r="E15" s="18" t="n"/>
      <c r="F15" s="18" t="n"/>
      <c r="G15" s="18" t="n"/>
      <c r="H15" s="19" t="n"/>
    </row>
    <row r="16">
      <c r="A16" s="5" t="inlineStr">
        <is>
          <t xml:space="preserve">  - явная</t>
        </is>
      </c>
      <c r="B16" s="6" t="n">
        <v>200</v>
      </c>
      <c r="C16" s="6" t="n">
        <v>165</v>
      </c>
      <c r="D16" s="6" t="n">
        <v>130</v>
      </c>
      <c r="E16" s="6" t="n">
        <v>95</v>
      </c>
      <c r="F16" s="6" t="n">
        <v>50</v>
      </c>
      <c r="G16" s="6" t="n">
        <v>10</v>
      </c>
    </row>
    <row r="17">
      <c r="A17" s="5" t="inlineStr">
        <is>
          <t xml:space="preserve">  - полная</t>
        </is>
      </c>
      <c r="B17" s="6" t="n">
        <v>290</v>
      </c>
      <c r="C17" s="6" t="n">
        <v>290</v>
      </c>
      <c r="D17" s="6" t="n">
        <v>290</v>
      </c>
      <c r="E17" s="6" t="n">
        <v>290</v>
      </c>
      <c r="F17" s="6" t="n">
        <v>290</v>
      </c>
      <c r="G17" s="6" t="n">
        <v>290</v>
      </c>
    </row>
    <row r="19">
      <c r="A19" s="20" t="inlineStr">
        <is>
          <t>* Для женщин эти значения необходимо умножать на 0,85, для детей – на 0,75</t>
        </is>
      </c>
    </row>
    <row r="21">
      <c r="A21" s="3" t="inlineStr">
        <is>
          <t>ТАБЛИЦА 5.5 - Поправка на положение источника теплоты</t>
        </is>
      </c>
    </row>
    <row r="22">
      <c r="A22" s="4" t="inlineStr">
        <is>
          <t>Положение кухонного оборудования</t>
        </is>
      </c>
      <c r="B22" s="4" t="inlineStr">
        <is>
          <t>Коэффициент r</t>
        </is>
      </c>
    </row>
    <row r="23">
      <c r="A23" s="5" t="inlineStr">
        <is>
          <t>Свободно стоящее</t>
        </is>
      </c>
      <c r="B23" s="6" t="inlineStr">
        <is>
          <t>1</t>
        </is>
      </c>
    </row>
    <row r="24">
      <c r="A24" s="5" t="inlineStr">
        <is>
          <t>У стены</t>
        </is>
      </c>
      <c r="B24" s="6" t="inlineStr">
        <is>
          <t>0,63 B/A, но не менее 0,63 и не более 1</t>
        </is>
      </c>
    </row>
    <row r="25">
      <c r="A25" s="5" t="inlineStr">
        <is>
          <t>В углу</t>
        </is>
      </c>
      <c r="B25" s="6" t="inlineStr">
        <is>
          <t>0,4</t>
        </is>
      </c>
    </row>
    <row r="27">
      <c r="A27" s="3" t="inlineStr">
        <is>
          <t>ТАБЛИЦА 5.6 - Поправочный коэффициент a</t>
        </is>
      </c>
    </row>
    <row r="28">
      <c r="A28" s="4" t="inlineStr">
        <is>
          <t>Способ воздухораспределения</t>
        </is>
      </c>
      <c r="B28" s="4" t="inlineStr">
        <is>
          <t>Коэффициент a</t>
        </is>
      </c>
    </row>
    <row r="29">
      <c r="A29" s="17" t="inlineStr">
        <is>
          <t>Перемешивающая вентиляция, струйная подача:</t>
        </is>
      </c>
      <c r="B29" s="6" t="inlineStr"/>
    </row>
    <row r="30">
      <c r="A30" s="5" t="inlineStr">
        <is>
          <t xml:space="preserve">  - через приточные решетки на стенах</t>
        </is>
      </c>
      <c r="B30" s="6" t="inlineStr">
        <is>
          <t>1,25</t>
        </is>
      </c>
    </row>
    <row r="31">
      <c r="A31" s="5" t="inlineStr">
        <is>
          <t xml:space="preserve">  - через плафонные воздухораспределители</t>
        </is>
      </c>
      <c r="B31" s="6" t="inlineStr">
        <is>
          <t>1,2</t>
        </is>
      </c>
    </row>
    <row r="32">
      <c r="A32" s="17" t="inlineStr">
        <is>
          <t>Вытесняющая вентиляция:</t>
        </is>
      </c>
      <c r="B32" s="6" t="inlineStr"/>
    </row>
    <row r="33">
      <c r="A33" s="5" t="inlineStr">
        <is>
          <t xml:space="preserve">  - на потолке</t>
        </is>
      </c>
      <c r="B33" s="6" t="inlineStr">
        <is>
          <t>1,1</t>
        </is>
      </c>
    </row>
    <row r="34">
      <c r="A34" s="5" t="inlineStr">
        <is>
          <t xml:space="preserve">  - в рабочей зоне</t>
        </is>
      </c>
      <c r="B34" s="6" t="inlineStr">
        <is>
          <t>1,05</t>
        </is>
      </c>
    </row>
  </sheetData>
  <mergeCells count="11">
    <mergeCell ref="A3:H3"/>
    <mergeCell ref="B9:H9"/>
    <mergeCell ref="A4:A5"/>
    <mergeCell ref="B4:H4"/>
    <mergeCell ref="B12:H12"/>
    <mergeCell ref="B6:H6"/>
    <mergeCell ref="A27:C27"/>
    <mergeCell ref="A1:E1"/>
    <mergeCell ref="A19:H19"/>
    <mergeCell ref="B15:H15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2025-12-01T08:21:40Z</dcterms:created>
  <dcterms:modified xsi:type="dcterms:W3CDTF">2025-12-01T08:21:40Z</dcterms:modified>
</cp:coreProperties>
</file>